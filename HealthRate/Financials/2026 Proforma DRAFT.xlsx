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\Desktop\HealthRate\Capital Raise\Milenia\"/>
    </mc:Choice>
  </mc:AlternateContent>
  <xr:revisionPtr revIDLastSave="0" documentId="13_ncr:1_{8D1F04DC-AFD1-42D9-8245-E3B385F5BF02}" xr6:coauthVersionLast="47" xr6:coauthVersionMax="47" xr10:uidLastSave="{00000000-0000-0000-0000-000000000000}"/>
  <bookViews>
    <workbookView xWindow="-120" yWindow="-120" windowWidth="29040" windowHeight="15720" tabRatio="733" activeTab="1" xr2:uid="{BD5CD225-5E93-4BD5-8BFD-B5FD08F07C8D}"/>
  </bookViews>
  <sheets>
    <sheet name="2026 Budget" sheetId="9" r:id="rId1"/>
    <sheet name="2026 HQ Pipeline" sheetId="2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" i="9" l="1"/>
  <c r="L43" i="9"/>
  <c r="K43" i="9"/>
  <c r="J43" i="9"/>
  <c r="I43" i="9"/>
  <c r="H43" i="9"/>
  <c r="G43" i="9"/>
  <c r="F43" i="9"/>
  <c r="E43" i="9"/>
  <c r="D43" i="9"/>
  <c r="C43" i="9"/>
  <c r="B43" i="9"/>
  <c r="N6" i="27"/>
  <c r="N18" i="27"/>
  <c r="N9" i="27"/>
  <c r="N8" i="27"/>
  <c r="N7" i="27"/>
  <c r="M21" i="27" l="1"/>
  <c r="L21" i="27"/>
  <c r="K21" i="27"/>
  <c r="J21" i="27"/>
  <c r="I21" i="27"/>
  <c r="H21" i="27"/>
  <c r="G21" i="27"/>
  <c r="F21" i="27"/>
  <c r="E21" i="27"/>
  <c r="D21" i="27"/>
  <c r="N19" i="27"/>
  <c r="N17" i="27"/>
  <c r="N16" i="27"/>
  <c r="N15" i="27"/>
  <c r="N14" i="27"/>
  <c r="N13" i="27"/>
  <c r="N12" i="27"/>
  <c r="N11" i="27"/>
  <c r="N10" i="27"/>
  <c r="N5" i="27"/>
  <c r="C21" i="27"/>
  <c r="M34" i="9"/>
  <c r="L34" i="9"/>
  <c r="K34" i="9"/>
  <c r="J34" i="9"/>
  <c r="I34" i="9"/>
  <c r="H34" i="9"/>
  <c r="G34" i="9"/>
  <c r="F34" i="9"/>
  <c r="E34" i="9"/>
  <c r="D34" i="9"/>
  <c r="C34" i="9"/>
  <c r="M30" i="9"/>
  <c r="L30" i="9"/>
  <c r="K30" i="9"/>
  <c r="J30" i="9"/>
  <c r="I30" i="9"/>
  <c r="H30" i="9"/>
  <c r="G30" i="9"/>
  <c r="F30" i="9"/>
  <c r="E30" i="9"/>
  <c r="D30" i="9"/>
  <c r="C30" i="9"/>
  <c r="M25" i="9"/>
  <c r="L25" i="9"/>
  <c r="K25" i="9"/>
  <c r="J25" i="9"/>
  <c r="I25" i="9"/>
  <c r="H25" i="9"/>
  <c r="G25" i="9"/>
  <c r="F25" i="9"/>
  <c r="E25" i="9"/>
  <c r="D25" i="9"/>
  <c r="C25" i="9"/>
  <c r="M20" i="9"/>
  <c r="L20" i="9"/>
  <c r="K20" i="9"/>
  <c r="J20" i="9"/>
  <c r="I20" i="9"/>
  <c r="H20" i="9"/>
  <c r="G20" i="9"/>
  <c r="F20" i="9"/>
  <c r="E20" i="9"/>
  <c r="D20" i="9"/>
  <c r="C20" i="9"/>
  <c r="M14" i="9"/>
  <c r="L14" i="9"/>
  <c r="K14" i="9"/>
  <c r="J14" i="9"/>
  <c r="I14" i="9"/>
  <c r="H14" i="9"/>
  <c r="G14" i="9"/>
  <c r="F14" i="9"/>
  <c r="E14" i="9"/>
  <c r="D14" i="9"/>
  <c r="C14" i="9"/>
  <c r="M8" i="9"/>
  <c r="L8" i="9"/>
  <c r="K8" i="9"/>
  <c r="J8" i="9"/>
  <c r="I8" i="9"/>
  <c r="H8" i="9"/>
  <c r="G8" i="9"/>
  <c r="F8" i="9"/>
  <c r="E8" i="9"/>
  <c r="D8" i="9"/>
  <c r="C8" i="9"/>
  <c r="B8" i="9"/>
  <c r="B14" i="9"/>
  <c r="B20" i="9"/>
  <c r="B25" i="9"/>
  <c r="B30" i="9"/>
  <c r="B34" i="9"/>
  <c r="N21" i="27" l="1"/>
  <c r="N43" i="9"/>
  <c r="N18" i="9" l="1"/>
  <c r="N13" i="9"/>
  <c r="N17" i="9"/>
  <c r="N19" i="9"/>
  <c r="M36" i="9"/>
  <c r="K36" i="9"/>
  <c r="J36" i="9"/>
  <c r="N33" i="9"/>
  <c r="N29" i="9"/>
  <c r="N28" i="9"/>
  <c r="N24" i="9"/>
  <c r="N23" i="9"/>
  <c r="N12" i="9"/>
  <c r="N11" i="9"/>
  <c r="N7" i="9"/>
  <c r="N6" i="9"/>
  <c r="N5" i="9"/>
  <c r="D36" i="9" l="1"/>
  <c r="E36" i="9"/>
  <c r="L36" i="9"/>
  <c r="C36" i="9"/>
  <c r="G36" i="9"/>
  <c r="H36" i="9"/>
  <c r="B36" i="9"/>
  <c r="F36" i="9"/>
  <c r="I36" i="9"/>
  <c r="N20" i="9"/>
  <c r="N25" i="9"/>
  <c r="N34" i="9"/>
  <c r="N14" i="9"/>
  <c r="N30" i="9"/>
  <c r="N8" i="9"/>
  <c r="B39" i="9" l="1"/>
  <c r="N39" i="9"/>
  <c r="N46" i="9" s="1"/>
  <c r="C39" i="9"/>
  <c r="N45" i="9" l="1"/>
  <c r="D39" i="9"/>
  <c r="E39" i="9" l="1"/>
  <c r="F39" i="9" l="1"/>
  <c r="G39" i="9" l="1"/>
  <c r="H39" i="9" l="1"/>
  <c r="I39" i="9" l="1"/>
  <c r="J39" i="9" l="1"/>
  <c r="K39" i="9" l="1"/>
  <c r="L39" i="9" l="1"/>
  <c r="M39" i="9" l="1"/>
</calcChain>
</file>

<file path=xl/sharedStrings.xml><?xml version="1.0" encoding="utf-8"?>
<sst xmlns="http://schemas.openxmlformats.org/spreadsheetml/2006/main" count="54" uniqueCount="47">
  <si>
    <t>OVERHEAD</t>
  </si>
  <si>
    <t>SUBTOTAL</t>
  </si>
  <si>
    <t>MARKETING</t>
  </si>
  <si>
    <t>PEOPLE</t>
  </si>
  <si>
    <t>PRODUCT</t>
  </si>
  <si>
    <t>OTHER SG&amp;A</t>
  </si>
  <si>
    <t>SUBTOTALS</t>
  </si>
  <si>
    <t>TOTAL</t>
  </si>
  <si>
    <t>Ongoing Marketing Expenses</t>
  </si>
  <si>
    <t>New Payroll (board expense)</t>
  </si>
  <si>
    <t xml:space="preserve"> Rent / Meeting Space</t>
  </si>
  <si>
    <t>Utiities (including cell phones)</t>
  </si>
  <si>
    <t>Conferences / Travel</t>
  </si>
  <si>
    <t>Environment / Servers</t>
  </si>
  <si>
    <t>Software &amp; Hardware</t>
  </si>
  <si>
    <t>Data Acquisition - IPD, Milliman, Fair, AMS or similar</t>
  </si>
  <si>
    <t>Petty Cash / Contingency</t>
  </si>
  <si>
    <t>HealthRate</t>
  </si>
  <si>
    <t>Payroll  - Loaded (tax and benefits)</t>
  </si>
  <si>
    <t>Running Total</t>
  </si>
  <si>
    <t>SERVICES</t>
  </si>
  <si>
    <t>Hourly (UI &amp; Dan)</t>
  </si>
  <si>
    <t>Insurance</t>
  </si>
  <si>
    <t>Legal fees</t>
  </si>
  <si>
    <t>Other PS, filing fees, etc</t>
  </si>
  <si>
    <t>REVENUE</t>
  </si>
  <si>
    <t>SaaS Subscriptions</t>
  </si>
  <si>
    <t>Harbor Health</t>
  </si>
  <si>
    <t>Aegle</t>
  </si>
  <si>
    <t>Premera</t>
  </si>
  <si>
    <t>Point32</t>
  </si>
  <si>
    <t>NOMI</t>
  </si>
  <si>
    <t>REVENUE - CONSERVATIVE</t>
  </si>
  <si>
    <t>EXISTING PIPELINE ONLY</t>
  </si>
  <si>
    <t>Estimating only expert fees at this time, not new clients driven</t>
  </si>
  <si>
    <t>Atrio</t>
  </si>
  <si>
    <t>ERISA Litigation Fees (Confidential) - SOLD</t>
  </si>
  <si>
    <t>MVP - VERBALLY SOLD</t>
  </si>
  <si>
    <t>Karias - VERBALLY SOLD</t>
  </si>
  <si>
    <t>Blue Shield California</t>
  </si>
  <si>
    <t>IBC</t>
  </si>
  <si>
    <t>Beyond Risk</t>
  </si>
  <si>
    <t>Portico</t>
  </si>
  <si>
    <t xml:space="preserve">HPI </t>
  </si>
  <si>
    <t>Reflect</t>
  </si>
  <si>
    <t>P&amp;L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</si>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</sst>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u/>
      <sz val="10"/>
      <color rgb="FFFF0000"/>
      <name val="Calibri"/>
      <family val="2"/>
      <scheme val="minor"/>
    </font>
    <font>
      <b/>
      <u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8" fontId="1" fillId="0" borderId="0" xfId="0" applyNumberFormat="1" applyFont="1"/>
    <xf numFmtId="8" fontId="1" fillId="0" borderId="1" xfId="0" applyNumberFormat="1" applyFont="1" applyBorder="1"/>
    <xf numFmtId="8" fontId="2" fillId="0" borderId="0" xfId="0" applyNumberFormat="1" applyFont="1"/>
    <xf numFmtId="8" fontId="1" fillId="2" borderId="0" xfId="0" applyNumberFormat="1" applyFont="1" applyFill="1"/>
    <xf numFmtId="0" fontId="4" fillId="0" borderId="0" xfId="0" applyFont="1"/>
    <xf numFmtId="8" fontId="2" fillId="3" borderId="2" xfId="0" applyNumberFormat="1" applyFont="1" applyFill="1" applyBorder="1"/>
    <xf numFmtId="0" fontId="6" fillId="0" borderId="0" xfId="0" applyFont="1"/>
    <xf numFmtId="0" fontId="5" fillId="0" borderId="0" xfId="0" applyFont="1" applyAlignment="1">
      <alignment horizontal="left" indent="1"/>
    </xf>
    <xf numFmtId="0" fontId="2" fillId="4" borderId="0" xfId="0" applyFont="1" applyFill="1" applyAlignment="1">
      <alignment horizontal="center"/>
    </xf>
    <xf numFmtId="9" fontId="1" fillId="0" borderId="0" xfId="1" applyFont="1"/>
    <xf numFmtId="0" fontId="7" fillId="0" borderId="0" xfId="0" applyFont="1" applyAlignment="1">
      <alignment horizontal="center"/>
    </xf>
    <xf numFmtId="8" fontId="1" fillId="5" borderId="0" xfId="0" applyNumberFormat="1" applyFont="1" applyFill="1"/>
    <xf numFmtId="8" fontId="2" fillId="5" borderId="2" xfId="0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E3902-8E50-437D-87BC-BE9F6C5B0926}">
  <dimension ref="A1:P52"/>
  <sheetViews>
    <sheetView zoomScale="80" zoomScaleNormal="80" workbookViewId="0">
      <selection activeCell="L22" sqref="L22"/>
    </sheetView>
  </sheetViews>
  <sheetFormatPr defaultColWidth="8.7109375" defaultRowHeight="12.75" x14ac:dyDescent="0.2"/>
  <cols>
    <col min="1" max="1" width="51.5703125" style="1" bestFit="1" customWidth="1"/>
    <col min="2" max="13" width="14.28515625" style="1" bestFit="1" customWidth="1"/>
    <col min="14" max="14" width="15.28515625" style="1" bestFit="1" customWidth="1"/>
    <col min="15" max="15" width="6.42578125" style="1" customWidth="1"/>
    <col min="16" max="16" width="88.85546875" style="1" bestFit="1" customWidth="1"/>
    <col min="17" max="16384" width="8.7109375" style="1"/>
  </cols>
  <sheetData>
    <row r="1" spans="1:16" x14ac:dyDescent="0.2">
      <c r="A1" s="14" t="s">
        <v>17</v>
      </c>
    </row>
    <row r="3" spans="1:16" x14ac:dyDescent="0.2"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 t="s">
        <v>6</v>
      </c>
    </row>
    <row r="4" spans="1:16" x14ac:dyDescent="0.2">
      <c r="A4" s="2" t="s">
        <v>0</v>
      </c>
    </row>
    <row r="5" spans="1:16" x14ac:dyDescent="0.2">
      <c r="A5" s="4" t="s">
        <v>10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9">
        <f>SUM(B5:M5)</f>
        <v>0</v>
      </c>
    </row>
    <row r="6" spans="1:16" x14ac:dyDescent="0.2">
      <c r="A6" s="4" t="s">
        <v>11</v>
      </c>
      <c r="B6" s="6">
        <v>700</v>
      </c>
      <c r="C6" s="6">
        <v>700</v>
      </c>
      <c r="D6" s="6">
        <v>700</v>
      </c>
      <c r="E6" s="6">
        <v>700</v>
      </c>
      <c r="F6" s="6">
        <v>700</v>
      </c>
      <c r="G6" s="6">
        <v>700</v>
      </c>
      <c r="H6" s="6">
        <v>700</v>
      </c>
      <c r="I6" s="6">
        <v>700</v>
      </c>
      <c r="J6" s="6">
        <v>700</v>
      </c>
      <c r="K6" s="6">
        <v>700</v>
      </c>
      <c r="L6" s="6">
        <v>700</v>
      </c>
      <c r="M6" s="6">
        <v>700</v>
      </c>
      <c r="N6" s="9">
        <f>SUM(B6:M6)</f>
        <v>8400</v>
      </c>
    </row>
    <row r="7" spans="1:16" x14ac:dyDescent="0.2">
      <c r="A7" s="4" t="s">
        <v>14</v>
      </c>
      <c r="B7" s="7">
        <v>500</v>
      </c>
      <c r="C7" s="7">
        <v>500</v>
      </c>
      <c r="D7" s="7">
        <v>500</v>
      </c>
      <c r="E7" s="7">
        <v>500</v>
      </c>
      <c r="F7" s="7">
        <v>500</v>
      </c>
      <c r="G7" s="7">
        <v>500</v>
      </c>
      <c r="H7" s="7">
        <v>500</v>
      </c>
      <c r="I7" s="7">
        <v>500</v>
      </c>
      <c r="J7" s="7">
        <v>500</v>
      </c>
      <c r="K7" s="7">
        <v>500</v>
      </c>
      <c r="L7" s="7">
        <v>500</v>
      </c>
      <c r="M7" s="7">
        <v>500</v>
      </c>
      <c r="N7" s="9">
        <f>SUM(B7:M7)</f>
        <v>6000</v>
      </c>
    </row>
    <row r="8" spans="1:16" x14ac:dyDescent="0.2">
      <c r="A8" s="2" t="s">
        <v>1</v>
      </c>
      <c r="B8" s="6">
        <f>SUM(B5:B7)</f>
        <v>1200</v>
      </c>
      <c r="C8" s="6">
        <f t="shared" ref="C8:M8" si="0">SUM(C5:C7)</f>
        <v>1200</v>
      </c>
      <c r="D8" s="6">
        <f t="shared" si="0"/>
        <v>1200</v>
      </c>
      <c r="E8" s="6">
        <f t="shared" si="0"/>
        <v>1200</v>
      </c>
      <c r="F8" s="6">
        <f t="shared" si="0"/>
        <v>1200</v>
      </c>
      <c r="G8" s="6">
        <f t="shared" si="0"/>
        <v>1200</v>
      </c>
      <c r="H8" s="6">
        <f t="shared" si="0"/>
        <v>1200</v>
      </c>
      <c r="I8" s="6">
        <f t="shared" si="0"/>
        <v>1200</v>
      </c>
      <c r="J8" s="6">
        <f t="shared" si="0"/>
        <v>1200</v>
      </c>
      <c r="K8" s="6">
        <f t="shared" si="0"/>
        <v>1200</v>
      </c>
      <c r="L8" s="6">
        <f t="shared" si="0"/>
        <v>1200</v>
      </c>
      <c r="M8" s="6">
        <f t="shared" si="0"/>
        <v>1200</v>
      </c>
      <c r="N8" s="9">
        <f>SUM(N5:N7)</f>
        <v>14400</v>
      </c>
    </row>
    <row r="9" spans="1:16" x14ac:dyDescent="0.2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6" x14ac:dyDescent="0.2">
      <c r="A10" s="2" t="s">
        <v>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6" x14ac:dyDescent="0.2">
      <c r="A11" s="4" t="s">
        <v>18</v>
      </c>
      <c r="B11" s="6">
        <v>45000</v>
      </c>
      <c r="C11" s="6">
        <v>45000</v>
      </c>
      <c r="D11" s="6">
        <v>45000</v>
      </c>
      <c r="E11" s="6">
        <v>65000</v>
      </c>
      <c r="F11" s="6">
        <v>65000</v>
      </c>
      <c r="G11" s="6">
        <v>65000</v>
      </c>
      <c r="H11" s="6">
        <v>65000</v>
      </c>
      <c r="I11" s="6">
        <v>65000</v>
      </c>
      <c r="J11" s="6">
        <v>65000</v>
      </c>
      <c r="K11" s="6">
        <v>85000</v>
      </c>
      <c r="L11" s="6">
        <v>85000</v>
      </c>
      <c r="M11" s="6">
        <v>85000</v>
      </c>
      <c r="N11" s="9">
        <f>SUM(B11:M11)</f>
        <v>780000</v>
      </c>
      <c r="P11" s="6"/>
    </row>
    <row r="12" spans="1:16" x14ac:dyDescent="0.2">
      <c r="A12" s="4" t="s">
        <v>9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20000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20000</v>
      </c>
      <c r="N12" s="9">
        <f>SUM(B12:M12)</f>
        <v>40000</v>
      </c>
    </row>
    <row r="13" spans="1:16" x14ac:dyDescent="0.2">
      <c r="A13" s="4" t="s">
        <v>21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10000</v>
      </c>
      <c r="H13" s="6">
        <v>10000</v>
      </c>
      <c r="I13" s="6">
        <v>10000</v>
      </c>
      <c r="J13" s="6">
        <v>10000</v>
      </c>
      <c r="K13" s="6">
        <v>10000</v>
      </c>
      <c r="L13" s="6">
        <v>10000</v>
      </c>
      <c r="M13" s="6">
        <v>10000</v>
      </c>
      <c r="N13" s="9">
        <f>SUM(B13:M13)</f>
        <v>70000</v>
      </c>
    </row>
    <row r="14" spans="1:16" x14ac:dyDescent="0.2">
      <c r="A14" s="5" t="s">
        <v>1</v>
      </c>
      <c r="B14" s="6">
        <f t="shared" ref="B14:N14" si="1">SUM(B11:B13)</f>
        <v>45000</v>
      </c>
      <c r="C14" s="6">
        <f t="shared" ref="C14:M14" si="2">SUM(C11:C13)</f>
        <v>45000</v>
      </c>
      <c r="D14" s="6">
        <f t="shared" si="2"/>
        <v>45000</v>
      </c>
      <c r="E14" s="6">
        <f t="shared" si="2"/>
        <v>65000</v>
      </c>
      <c r="F14" s="6">
        <f t="shared" si="2"/>
        <v>65000</v>
      </c>
      <c r="G14" s="6">
        <f t="shared" si="2"/>
        <v>95000</v>
      </c>
      <c r="H14" s="6">
        <f t="shared" si="2"/>
        <v>75000</v>
      </c>
      <c r="I14" s="6">
        <f t="shared" si="2"/>
        <v>75000</v>
      </c>
      <c r="J14" s="6">
        <f t="shared" si="2"/>
        <v>75000</v>
      </c>
      <c r="K14" s="6">
        <f t="shared" si="2"/>
        <v>95000</v>
      </c>
      <c r="L14" s="6">
        <f t="shared" si="2"/>
        <v>95000</v>
      </c>
      <c r="M14" s="6">
        <f t="shared" si="2"/>
        <v>115000</v>
      </c>
      <c r="N14" s="9">
        <f t="shared" si="1"/>
        <v>890000</v>
      </c>
    </row>
    <row r="15" spans="1:16" x14ac:dyDescent="0.2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6" x14ac:dyDescent="0.2">
      <c r="A16" s="5" t="s">
        <v>20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">
      <c r="A17" s="4" t="s">
        <v>23</v>
      </c>
      <c r="B17" s="6">
        <v>1500</v>
      </c>
      <c r="C17" s="6">
        <v>1500</v>
      </c>
      <c r="D17" s="6">
        <v>1500</v>
      </c>
      <c r="E17" s="6">
        <v>1500</v>
      </c>
      <c r="F17" s="6">
        <v>1500</v>
      </c>
      <c r="G17" s="6">
        <v>1500</v>
      </c>
      <c r="H17" s="6">
        <v>1500</v>
      </c>
      <c r="I17" s="6">
        <v>1500</v>
      </c>
      <c r="J17" s="6">
        <v>1500</v>
      </c>
      <c r="K17" s="6">
        <v>1500</v>
      </c>
      <c r="L17" s="6">
        <v>1500</v>
      </c>
      <c r="M17" s="6">
        <v>1500</v>
      </c>
      <c r="N17" s="9">
        <f>SUM(B17:M17)</f>
        <v>18000</v>
      </c>
    </row>
    <row r="18" spans="1:14" x14ac:dyDescent="0.2">
      <c r="A18" s="4" t="s">
        <v>22</v>
      </c>
      <c r="B18" s="6">
        <v>0</v>
      </c>
      <c r="C18" s="6">
        <v>8000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8000</v>
      </c>
      <c r="L18" s="6">
        <v>0</v>
      </c>
      <c r="M18" s="6">
        <v>0</v>
      </c>
      <c r="N18" s="9">
        <f>SUM(B18:M18)</f>
        <v>16000</v>
      </c>
    </row>
    <row r="19" spans="1:14" x14ac:dyDescent="0.2">
      <c r="A19" s="4" t="s">
        <v>24</v>
      </c>
      <c r="B19" s="6">
        <v>1000</v>
      </c>
      <c r="C19" s="6">
        <v>1000</v>
      </c>
      <c r="D19" s="6">
        <v>1000</v>
      </c>
      <c r="E19" s="6">
        <v>1000</v>
      </c>
      <c r="F19" s="6">
        <v>1000</v>
      </c>
      <c r="G19" s="6">
        <v>1000</v>
      </c>
      <c r="H19" s="6">
        <v>1000</v>
      </c>
      <c r="I19" s="6">
        <v>1000</v>
      </c>
      <c r="J19" s="6">
        <v>1000</v>
      </c>
      <c r="K19" s="6">
        <v>1000</v>
      </c>
      <c r="L19" s="6">
        <v>1000</v>
      </c>
      <c r="M19" s="6">
        <v>1000</v>
      </c>
      <c r="N19" s="9">
        <f>SUM(B19:M19)</f>
        <v>12000</v>
      </c>
    </row>
    <row r="20" spans="1:14" x14ac:dyDescent="0.2">
      <c r="A20" s="5" t="s">
        <v>1</v>
      </c>
      <c r="B20" s="6">
        <f t="shared" ref="B20:N20" si="3">SUM(B17:B19)</f>
        <v>2500</v>
      </c>
      <c r="C20" s="6">
        <f t="shared" ref="C20:M20" si="4">SUM(C17:C19)</f>
        <v>10500</v>
      </c>
      <c r="D20" s="6">
        <f t="shared" si="4"/>
        <v>2500</v>
      </c>
      <c r="E20" s="6">
        <f t="shared" si="4"/>
        <v>2500</v>
      </c>
      <c r="F20" s="6">
        <f t="shared" si="4"/>
        <v>2500</v>
      </c>
      <c r="G20" s="6">
        <f t="shared" si="4"/>
        <v>2500</v>
      </c>
      <c r="H20" s="6">
        <f t="shared" si="4"/>
        <v>2500</v>
      </c>
      <c r="I20" s="6">
        <f t="shared" si="4"/>
        <v>2500</v>
      </c>
      <c r="J20" s="6">
        <f t="shared" si="4"/>
        <v>2500</v>
      </c>
      <c r="K20" s="6">
        <f t="shared" si="4"/>
        <v>10500</v>
      </c>
      <c r="L20" s="6">
        <f t="shared" si="4"/>
        <v>2500</v>
      </c>
      <c r="M20" s="6">
        <f t="shared" si="4"/>
        <v>2500</v>
      </c>
      <c r="N20" s="9">
        <f t="shared" si="3"/>
        <v>46000</v>
      </c>
    </row>
    <row r="21" spans="1:14" x14ac:dyDescent="0.2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">
      <c r="A22" s="5" t="s">
        <v>4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">
      <c r="A23" s="4" t="s">
        <v>15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9">
        <f>SUM(B23:M23)</f>
        <v>0</v>
      </c>
    </row>
    <row r="24" spans="1:14" x14ac:dyDescent="0.2">
      <c r="A24" s="4" t="s">
        <v>13</v>
      </c>
      <c r="B24" s="6">
        <v>400</v>
      </c>
      <c r="C24" s="6">
        <v>400</v>
      </c>
      <c r="D24" s="6">
        <v>1000</v>
      </c>
      <c r="E24" s="6">
        <v>1000</v>
      </c>
      <c r="F24" s="6">
        <v>1000</v>
      </c>
      <c r="G24" s="6">
        <v>1000</v>
      </c>
      <c r="H24" s="6">
        <v>1000</v>
      </c>
      <c r="I24" s="6">
        <v>1000</v>
      </c>
      <c r="J24" s="6">
        <v>2000</v>
      </c>
      <c r="K24" s="6">
        <v>2000</v>
      </c>
      <c r="L24" s="6">
        <v>2000</v>
      </c>
      <c r="M24" s="6">
        <v>2000</v>
      </c>
      <c r="N24" s="9">
        <f>SUM(B24:M24)</f>
        <v>14800</v>
      </c>
    </row>
    <row r="25" spans="1:14" x14ac:dyDescent="0.2">
      <c r="A25" s="5" t="s">
        <v>1</v>
      </c>
      <c r="B25" s="6">
        <f t="shared" ref="B25:N25" si="5">SUM(B23:B24)</f>
        <v>400</v>
      </c>
      <c r="C25" s="6">
        <f t="shared" ref="C25:M25" si="6">SUM(C23:C24)</f>
        <v>400</v>
      </c>
      <c r="D25" s="6">
        <f t="shared" si="6"/>
        <v>1000</v>
      </c>
      <c r="E25" s="6">
        <f t="shared" si="6"/>
        <v>1000</v>
      </c>
      <c r="F25" s="6">
        <f t="shared" si="6"/>
        <v>1000</v>
      </c>
      <c r="G25" s="6">
        <f t="shared" si="6"/>
        <v>1000</v>
      </c>
      <c r="H25" s="6">
        <f t="shared" si="6"/>
        <v>1000</v>
      </c>
      <c r="I25" s="6">
        <f t="shared" si="6"/>
        <v>1000</v>
      </c>
      <c r="J25" s="6">
        <f t="shared" si="6"/>
        <v>2000</v>
      </c>
      <c r="K25" s="6">
        <f t="shared" si="6"/>
        <v>2000</v>
      </c>
      <c r="L25" s="6">
        <f t="shared" si="6"/>
        <v>2000</v>
      </c>
      <c r="M25" s="6">
        <f t="shared" si="6"/>
        <v>2000</v>
      </c>
      <c r="N25" s="9">
        <f t="shared" si="5"/>
        <v>14800</v>
      </c>
    </row>
    <row r="26" spans="1:14" x14ac:dyDescent="0.2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">
      <c r="A27" s="2" t="s">
        <v>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">
      <c r="A28" s="4" t="s">
        <v>8</v>
      </c>
      <c r="B28" s="6">
        <v>15000</v>
      </c>
      <c r="C28" s="6">
        <v>15000</v>
      </c>
      <c r="D28" s="6">
        <v>15000</v>
      </c>
      <c r="E28" s="6">
        <v>15000</v>
      </c>
      <c r="F28" s="6">
        <v>15000</v>
      </c>
      <c r="G28" s="6">
        <v>15000</v>
      </c>
      <c r="H28" s="6">
        <v>15000</v>
      </c>
      <c r="I28" s="6">
        <v>15000</v>
      </c>
      <c r="J28" s="6">
        <v>15000</v>
      </c>
      <c r="K28" s="6">
        <v>15000</v>
      </c>
      <c r="L28" s="6">
        <v>15000</v>
      </c>
      <c r="M28" s="6">
        <v>15000</v>
      </c>
      <c r="N28" s="9">
        <f>SUM(B28:M28)</f>
        <v>180000</v>
      </c>
    </row>
    <row r="29" spans="1:14" x14ac:dyDescent="0.2">
      <c r="A29" s="4" t="s">
        <v>12</v>
      </c>
      <c r="B29" s="6">
        <v>1000</v>
      </c>
      <c r="C29" s="6">
        <v>1000</v>
      </c>
      <c r="D29" s="6">
        <v>1000</v>
      </c>
      <c r="E29" s="6">
        <v>1000</v>
      </c>
      <c r="F29" s="6">
        <v>1000</v>
      </c>
      <c r="G29" s="6">
        <v>1000</v>
      </c>
      <c r="H29" s="6">
        <v>1000</v>
      </c>
      <c r="I29" s="6">
        <v>1000</v>
      </c>
      <c r="J29" s="6">
        <v>1000</v>
      </c>
      <c r="K29" s="6">
        <v>1000</v>
      </c>
      <c r="L29" s="6">
        <v>1000</v>
      </c>
      <c r="M29" s="6">
        <v>1000</v>
      </c>
      <c r="N29" s="9">
        <f>SUM(B29:M29)</f>
        <v>12000</v>
      </c>
    </row>
    <row r="30" spans="1:14" x14ac:dyDescent="0.2">
      <c r="A30" s="2" t="s">
        <v>1</v>
      </c>
      <c r="B30" s="6">
        <f>SUM(B28:B29)</f>
        <v>16000</v>
      </c>
      <c r="C30" s="6">
        <f t="shared" ref="C30:M30" si="7">SUM(C28:C29)</f>
        <v>16000</v>
      </c>
      <c r="D30" s="6">
        <f t="shared" si="7"/>
        <v>16000</v>
      </c>
      <c r="E30" s="6">
        <f t="shared" si="7"/>
        <v>16000</v>
      </c>
      <c r="F30" s="6">
        <f t="shared" si="7"/>
        <v>16000</v>
      </c>
      <c r="G30" s="6">
        <f t="shared" si="7"/>
        <v>16000</v>
      </c>
      <c r="H30" s="6">
        <f t="shared" si="7"/>
        <v>16000</v>
      </c>
      <c r="I30" s="6">
        <f t="shared" si="7"/>
        <v>16000</v>
      </c>
      <c r="J30" s="6">
        <f t="shared" si="7"/>
        <v>16000</v>
      </c>
      <c r="K30" s="6">
        <f t="shared" si="7"/>
        <v>16000</v>
      </c>
      <c r="L30" s="6">
        <f t="shared" si="7"/>
        <v>16000</v>
      </c>
      <c r="M30" s="6">
        <f t="shared" si="7"/>
        <v>16000</v>
      </c>
      <c r="N30" s="9">
        <f>SUM(N28:N29)</f>
        <v>192000</v>
      </c>
    </row>
    <row r="31" spans="1:14" x14ac:dyDescent="0.2">
      <c r="A31" s="2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">
      <c r="A32" s="2" t="s">
        <v>5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6" x14ac:dyDescent="0.2">
      <c r="A33" s="4" t="s">
        <v>16</v>
      </c>
      <c r="B33" s="6">
        <v>1500</v>
      </c>
      <c r="C33" s="6">
        <v>1500</v>
      </c>
      <c r="D33" s="6">
        <v>1500</v>
      </c>
      <c r="E33" s="6">
        <v>1500</v>
      </c>
      <c r="F33" s="6">
        <v>1500</v>
      </c>
      <c r="G33" s="6">
        <v>1500</v>
      </c>
      <c r="H33" s="6">
        <v>1500</v>
      </c>
      <c r="I33" s="6">
        <v>1500</v>
      </c>
      <c r="J33" s="6">
        <v>1500</v>
      </c>
      <c r="K33" s="6">
        <v>1500</v>
      </c>
      <c r="L33" s="6">
        <v>1500</v>
      </c>
      <c r="M33" s="6">
        <v>1500</v>
      </c>
      <c r="N33" s="9">
        <f>SUM(B33:M33)</f>
        <v>18000</v>
      </c>
      <c r="P33" s="10"/>
    </row>
    <row r="34" spans="1:16" x14ac:dyDescent="0.2">
      <c r="A34" s="2" t="s">
        <v>1</v>
      </c>
      <c r="B34" s="6">
        <f>B33</f>
        <v>1500</v>
      </c>
      <c r="C34" s="6">
        <f t="shared" ref="C34:M34" si="8">C33</f>
        <v>1500</v>
      </c>
      <c r="D34" s="6">
        <f t="shared" si="8"/>
        <v>1500</v>
      </c>
      <c r="E34" s="6">
        <f t="shared" si="8"/>
        <v>1500</v>
      </c>
      <c r="F34" s="6">
        <f t="shared" si="8"/>
        <v>1500</v>
      </c>
      <c r="G34" s="6">
        <f t="shared" si="8"/>
        <v>1500</v>
      </c>
      <c r="H34" s="6">
        <f t="shared" si="8"/>
        <v>1500</v>
      </c>
      <c r="I34" s="6">
        <f t="shared" si="8"/>
        <v>1500</v>
      </c>
      <c r="J34" s="6">
        <f t="shared" si="8"/>
        <v>1500</v>
      </c>
      <c r="K34" s="6">
        <f t="shared" si="8"/>
        <v>1500</v>
      </c>
      <c r="L34" s="6">
        <f t="shared" si="8"/>
        <v>1500</v>
      </c>
      <c r="M34" s="6">
        <f t="shared" si="8"/>
        <v>1500</v>
      </c>
      <c r="N34" s="9">
        <f>SUM(B34:M34)</f>
        <v>18000</v>
      </c>
    </row>
    <row r="36" spans="1:16" x14ac:dyDescent="0.2">
      <c r="A36" s="2" t="s">
        <v>7</v>
      </c>
      <c r="B36" s="8">
        <f>B8+B14+B20+B25+B30+B34</f>
        <v>66600</v>
      </c>
      <c r="C36" s="8">
        <f t="shared" ref="C36:M36" si="9">C8+C14+C20+C25+C30+C34</f>
        <v>74600</v>
      </c>
      <c r="D36" s="8">
        <f t="shared" si="9"/>
        <v>67200</v>
      </c>
      <c r="E36" s="8">
        <f t="shared" si="9"/>
        <v>87200</v>
      </c>
      <c r="F36" s="8">
        <f t="shared" si="9"/>
        <v>87200</v>
      </c>
      <c r="G36" s="8">
        <f t="shared" si="9"/>
        <v>117200</v>
      </c>
      <c r="H36" s="8">
        <f t="shared" si="9"/>
        <v>97200</v>
      </c>
      <c r="I36" s="8">
        <f t="shared" si="9"/>
        <v>97200</v>
      </c>
      <c r="J36" s="8">
        <f t="shared" si="9"/>
        <v>98200</v>
      </c>
      <c r="K36" s="8">
        <f t="shared" si="9"/>
        <v>126200</v>
      </c>
      <c r="L36" s="8">
        <f t="shared" si="9"/>
        <v>118200</v>
      </c>
      <c r="M36" s="8">
        <f t="shared" si="9"/>
        <v>138200</v>
      </c>
      <c r="N36" s="8"/>
    </row>
    <row r="38" spans="1:16" x14ac:dyDescent="0.2">
      <c r="A38" s="12"/>
    </row>
    <row r="39" spans="1:16" ht="13.5" thickBot="1" x14ac:dyDescent="0.25">
      <c r="A39" s="13" t="s">
        <v>19</v>
      </c>
      <c r="B39" s="17">
        <f>B36</f>
        <v>66600</v>
      </c>
      <c r="C39" s="17">
        <f>B36+C36</f>
        <v>141200</v>
      </c>
      <c r="D39" s="17">
        <f>C39+D36</f>
        <v>208400</v>
      </c>
      <c r="E39" s="17">
        <f>D39+E36</f>
        <v>295600</v>
      </c>
      <c r="F39" s="17">
        <f t="shared" ref="F39:M39" si="10">E39+F36</f>
        <v>382800</v>
      </c>
      <c r="G39" s="17">
        <f t="shared" si="10"/>
        <v>500000</v>
      </c>
      <c r="H39" s="17">
        <f t="shared" si="10"/>
        <v>597200</v>
      </c>
      <c r="I39" s="17">
        <f t="shared" si="10"/>
        <v>694400</v>
      </c>
      <c r="J39" s="17">
        <f t="shared" si="10"/>
        <v>792600</v>
      </c>
      <c r="K39" s="17">
        <f t="shared" si="10"/>
        <v>918800</v>
      </c>
      <c r="L39" s="17">
        <f t="shared" si="10"/>
        <v>1037000</v>
      </c>
      <c r="M39" s="17">
        <f t="shared" si="10"/>
        <v>1175200</v>
      </c>
      <c r="N39" s="18">
        <f>N8+N14+N20+N25+N30+N34</f>
        <v>1175200</v>
      </c>
      <c r="O39" s="6"/>
    </row>
    <row r="40" spans="1:16" ht="13.5" thickTop="1" x14ac:dyDescent="0.2">
      <c r="A40" s="13"/>
    </row>
    <row r="41" spans="1:16" x14ac:dyDescent="0.2">
      <c r="A41" s="13"/>
      <c r="O41" s="6"/>
    </row>
    <row r="42" spans="1:16" x14ac:dyDescent="0.2">
      <c r="A42" s="2" t="s">
        <v>25</v>
      </c>
    </row>
    <row r="43" spans="1:16" x14ac:dyDescent="0.2">
      <c r="A43" s="4" t="s">
        <v>26</v>
      </c>
      <c r="B43" s="6">
        <f>'2026 HQ Pipeline'!B21</f>
        <v>0</v>
      </c>
      <c r="C43" s="6">
        <f>'2026 HQ Pipeline'!C21</f>
        <v>11000</v>
      </c>
      <c r="D43" s="6">
        <f>'2026 HQ Pipeline'!D21</f>
        <v>185000</v>
      </c>
      <c r="E43" s="6">
        <f>'2026 HQ Pipeline'!E21</f>
        <v>540000</v>
      </c>
      <c r="F43" s="6">
        <f>'2026 HQ Pipeline'!F21</f>
        <v>630000</v>
      </c>
      <c r="G43" s="6">
        <f>'2026 HQ Pipeline'!G21</f>
        <v>1130000</v>
      </c>
      <c r="H43" s="6">
        <f>'2026 HQ Pipeline'!H21</f>
        <v>1130000</v>
      </c>
      <c r="I43" s="6">
        <f>'2026 HQ Pipeline'!I21</f>
        <v>1130000</v>
      </c>
      <c r="J43" s="6">
        <f>'2026 HQ Pipeline'!J21</f>
        <v>1130000</v>
      </c>
      <c r="K43" s="6">
        <f>'2026 HQ Pipeline'!K21</f>
        <v>1130000</v>
      </c>
      <c r="L43" s="6">
        <f>'2026 HQ Pipeline'!L21</f>
        <v>1130000</v>
      </c>
      <c r="M43" s="6">
        <f>'2026 HQ Pipeline'!M21</f>
        <v>1130000</v>
      </c>
      <c r="N43" s="9">
        <f>SUM(B43:M43)</f>
        <v>9276000</v>
      </c>
    </row>
    <row r="44" spans="1:16" x14ac:dyDescent="0.2">
      <c r="A44" s="4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6" ht="13.5" thickBot="1" x14ac:dyDescent="0.25">
      <c r="A45" s="2" t="s">
        <v>45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11">
        <f>N43-N39</f>
        <v>8100800</v>
      </c>
    </row>
    <row r="46" spans="1:16" ht="13.5" thickTop="1" x14ac:dyDescent="0.2">
      <c r="A46" s="2" t="s">
        <v>46</v>
      </c>
      <c r="N46" s="15">
        <f>(N43-N39)/N43</f>
        <v>0.87330746011211724</v>
      </c>
    </row>
    <row r="47" spans="1:16" x14ac:dyDescent="0.2">
      <c r="A47" s="4"/>
      <c r="B47" s="6"/>
    </row>
    <row r="48" spans="1:16" x14ac:dyDescent="0.2">
      <c r="A48" s="4"/>
      <c r="B48" s="6"/>
    </row>
    <row r="49" spans="1:2" x14ac:dyDescent="0.2">
      <c r="A49" s="4"/>
      <c r="B49" s="6"/>
    </row>
    <row r="50" spans="1:2" x14ac:dyDescent="0.2">
      <c r="A50" s="4"/>
      <c r="B50" s="6"/>
    </row>
    <row r="52" spans="1:2" x14ac:dyDescent="0.2">
      <c r="B52" s="6"/>
    </row>
  </sheetData>
  <pageMargins left="0.7" right="0.7" top="0.75" bottom="0.75" header="0.3" footer="0.3"/>
  <pageSetup orientation="portrait" r:id="rId1"/>
  <headerFooter>
    <oddHeader>&amp;CCONFIDENTIAL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413C6-47D4-4211-A3D8-815DF64378A3}">
  <dimension ref="A1:P22"/>
  <sheetViews>
    <sheetView tabSelected="1" zoomScaleNormal="100" workbookViewId="0">
      <selection activeCell="B6" sqref="B6"/>
    </sheetView>
  </sheetViews>
  <sheetFormatPr defaultColWidth="8.7109375" defaultRowHeight="12.75" x14ac:dyDescent="0.2"/>
  <cols>
    <col min="1" max="1" width="51.5703125" style="1" bestFit="1" customWidth="1"/>
    <col min="2" max="13" width="14.28515625" style="1" bestFit="1" customWidth="1"/>
    <col min="14" max="14" width="15.28515625" style="1" bestFit="1" customWidth="1"/>
    <col min="15" max="15" width="6.42578125" style="1" customWidth="1"/>
    <col min="16" max="16" width="88.85546875" style="1" bestFit="1" customWidth="1"/>
    <col min="17" max="16384" width="8.7109375" style="1"/>
  </cols>
  <sheetData>
    <row r="1" spans="1:16" x14ac:dyDescent="0.2">
      <c r="A1" s="14" t="s">
        <v>17</v>
      </c>
    </row>
    <row r="3" spans="1:16" x14ac:dyDescent="0.2">
      <c r="A3" s="16" t="s">
        <v>33</v>
      </c>
      <c r="B3" s="3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3">
        <v>7</v>
      </c>
      <c r="I3" s="3">
        <v>8</v>
      </c>
      <c r="J3" s="3">
        <v>9</v>
      </c>
      <c r="K3" s="3">
        <v>10</v>
      </c>
      <c r="L3" s="3">
        <v>11</v>
      </c>
      <c r="M3" s="3">
        <v>12</v>
      </c>
      <c r="N3" s="3" t="s">
        <v>6</v>
      </c>
    </row>
    <row r="4" spans="1:16" x14ac:dyDescent="0.2">
      <c r="A4" s="2" t="s">
        <v>32</v>
      </c>
    </row>
    <row r="5" spans="1:16" x14ac:dyDescent="0.2">
      <c r="A5" s="4" t="s">
        <v>27</v>
      </c>
      <c r="B5" s="6"/>
      <c r="C5" s="6"/>
      <c r="D5" s="6">
        <v>10000</v>
      </c>
      <c r="E5" s="6">
        <v>10000</v>
      </c>
      <c r="F5" s="6">
        <v>10000</v>
      </c>
      <c r="G5" s="6">
        <v>10000</v>
      </c>
      <c r="H5" s="6">
        <v>10000</v>
      </c>
      <c r="I5" s="6">
        <v>10000</v>
      </c>
      <c r="J5" s="6">
        <v>10000</v>
      </c>
      <c r="K5" s="6">
        <v>10000</v>
      </c>
      <c r="L5" s="6">
        <v>10000</v>
      </c>
      <c r="M5" s="6">
        <v>10000</v>
      </c>
      <c r="N5" s="9">
        <f t="shared" ref="N5:N19" si="0">SUM(B5:M5)</f>
        <v>100000</v>
      </c>
    </row>
    <row r="6" spans="1:16" x14ac:dyDescent="0.2">
      <c r="A6" s="4" t="s">
        <v>44</v>
      </c>
      <c r="B6" s="6"/>
      <c r="C6" s="6">
        <v>10000</v>
      </c>
      <c r="D6" s="6">
        <v>10000</v>
      </c>
      <c r="E6" s="6">
        <v>10000</v>
      </c>
      <c r="F6" s="6">
        <v>25000</v>
      </c>
      <c r="G6" s="6">
        <v>25000</v>
      </c>
      <c r="H6" s="6">
        <v>25000</v>
      </c>
      <c r="I6" s="6">
        <v>25000</v>
      </c>
      <c r="J6" s="6">
        <v>25000</v>
      </c>
      <c r="K6" s="6">
        <v>25000</v>
      </c>
      <c r="L6" s="6">
        <v>25000</v>
      </c>
      <c r="M6" s="6">
        <v>25000</v>
      </c>
      <c r="N6" s="9">
        <f t="shared" si="0"/>
        <v>230000</v>
      </c>
    </row>
    <row r="7" spans="1:16" x14ac:dyDescent="0.2">
      <c r="A7" s="4" t="s">
        <v>42</v>
      </c>
      <c r="B7" s="6"/>
      <c r="C7" s="6"/>
      <c r="D7" s="6">
        <v>25000</v>
      </c>
      <c r="E7" s="6">
        <v>25000</v>
      </c>
      <c r="F7" s="6">
        <v>25000</v>
      </c>
      <c r="G7" s="6">
        <v>25000</v>
      </c>
      <c r="H7" s="6">
        <v>25000</v>
      </c>
      <c r="I7" s="6">
        <v>25000</v>
      </c>
      <c r="J7" s="6">
        <v>25000</v>
      </c>
      <c r="K7" s="6">
        <v>25000</v>
      </c>
      <c r="L7" s="6">
        <v>25000</v>
      </c>
      <c r="M7" s="6">
        <v>25000</v>
      </c>
      <c r="N7" s="9">
        <f t="shared" si="0"/>
        <v>250000</v>
      </c>
    </row>
    <row r="8" spans="1:16" x14ac:dyDescent="0.2">
      <c r="A8" s="4" t="s">
        <v>41</v>
      </c>
      <c r="B8" s="6"/>
      <c r="C8" s="6"/>
      <c r="D8" s="6">
        <v>10000</v>
      </c>
      <c r="E8" s="6">
        <v>10000</v>
      </c>
      <c r="F8" s="6">
        <v>10000</v>
      </c>
      <c r="G8" s="6">
        <v>10000</v>
      </c>
      <c r="H8" s="6">
        <v>10000</v>
      </c>
      <c r="I8" s="6">
        <v>10000</v>
      </c>
      <c r="J8" s="6">
        <v>10000</v>
      </c>
      <c r="K8" s="6">
        <v>10000</v>
      </c>
      <c r="L8" s="6">
        <v>10000</v>
      </c>
      <c r="M8" s="6">
        <v>10000</v>
      </c>
      <c r="N8" s="9">
        <f t="shared" si="0"/>
        <v>100000</v>
      </c>
    </row>
    <row r="9" spans="1:16" x14ac:dyDescent="0.2">
      <c r="A9" s="4" t="s">
        <v>43</v>
      </c>
      <c r="B9" s="6"/>
      <c r="C9" s="6"/>
      <c r="D9" s="6">
        <v>25000</v>
      </c>
      <c r="E9" s="6">
        <v>25000</v>
      </c>
      <c r="F9" s="6">
        <v>25000</v>
      </c>
      <c r="G9" s="6">
        <v>25000</v>
      </c>
      <c r="H9" s="6">
        <v>25000</v>
      </c>
      <c r="I9" s="6">
        <v>25000</v>
      </c>
      <c r="J9" s="6">
        <v>25000</v>
      </c>
      <c r="K9" s="6">
        <v>25000</v>
      </c>
      <c r="L9" s="6">
        <v>25000</v>
      </c>
      <c r="M9" s="6">
        <v>25000</v>
      </c>
      <c r="N9" s="9">
        <f t="shared" si="0"/>
        <v>250000</v>
      </c>
    </row>
    <row r="10" spans="1:16" x14ac:dyDescent="0.2">
      <c r="A10" s="4" t="s">
        <v>28</v>
      </c>
      <c r="B10" s="6"/>
      <c r="C10" s="6"/>
      <c r="D10" s="6">
        <v>10000</v>
      </c>
      <c r="E10" s="6">
        <v>10000</v>
      </c>
      <c r="F10" s="6">
        <v>10000</v>
      </c>
      <c r="G10" s="6">
        <v>10000</v>
      </c>
      <c r="H10" s="6">
        <v>10000</v>
      </c>
      <c r="I10" s="6">
        <v>10000</v>
      </c>
      <c r="J10" s="6">
        <v>10000</v>
      </c>
      <c r="K10" s="6">
        <v>10000</v>
      </c>
      <c r="L10" s="6">
        <v>10000</v>
      </c>
      <c r="M10" s="6">
        <v>10000</v>
      </c>
      <c r="N10" s="9">
        <f t="shared" si="0"/>
        <v>100000</v>
      </c>
    </row>
    <row r="11" spans="1:16" x14ac:dyDescent="0.2">
      <c r="A11" s="4" t="s">
        <v>29</v>
      </c>
      <c r="B11" s="6"/>
      <c r="C11" s="6"/>
      <c r="D11" s="6"/>
      <c r="E11" s="6">
        <v>150000</v>
      </c>
      <c r="F11" s="6">
        <v>150000</v>
      </c>
      <c r="G11" s="6">
        <v>150000</v>
      </c>
      <c r="H11" s="6">
        <v>150000</v>
      </c>
      <c r="I11" s="6">
        <v>150000</v>
      </c>
      <c r="J11" s="6">
        <v>150000</v>
      </c>
      <c r="K11" s="6">
        <v>150000</v>
      </c>
      <c r="L11" s="6">
        <v>150000</v>
      </c>
      <c r="M11" s="6">
        <v>150000</v>
      </c>
      <c r="N11" s="9">
        <f t="shared" si="0"/>
        <v>1350000</v>
      </c>
    </row>
    <row r="12" spans="1:16" x14ac:dyDescent="0.2">
      <c r="A12" s="4" t="s">
        <v>37</v>
      </c>
      <c r="B12" s="6"/>
      <c r="C12" s="6"/>
      <c r="D12" s="6">
        <v>75000</v>
      </c>
      <c r="E12" s="6">
        <v>75000</v>
      </c>
      <c r="F12" s="6">
        <v>75000</v>
      </c>
      <c r="G12" s="6">
        <v>75000</v>
      </c>
      <c r="H12" s="6">
        <v>75000</v>
      </c>
      <c r="I12" s="6">
        <v>75000</v>
      </c>
      <c r="J12" s="6">
        <v>75000</v>
      </c>
      <c r="K12" s="6">
        <v>75000</v>
      </c>
      <c r="L12" s="6">
        <v>75000</v>
      </c>
      <c r="M12" s="6">
        <v>75000</v>
      </c>
      <c r="N12" s="9">
        <f t="shared" si="0"/>
        <v>750000</v>
      </c>
    </row>
    <row r="13" spans="1:16" x14ac:dyDescent="0.2">
      <c r="A13" s="4" t="s">
        <v>30</v>
      </c>
      <c r="B13" s="6"/>
      <c r="C13" s="6"/>
      <c r="D13" s="6"/>
      <c r="E13" s="6">
        <v>200000</v>
      </c>
      <c r="F13" s="6">
        <v>200000</v>
      </c>
      <c r="G13" s="6">
        <v>200000</v>
      </c>
      <c r="H13" s="6">
        <v>200000</v>
      </c>
      <c r="I13" s="6">
        <v>200000</v>
      </c>
      <c r="J13" s="6">
        <v>200000</v>
      </c>
      <c r="K13" s="6">
        <v>200000</v>
      </c>
      <c r="L13" s="6">
        <v>200000</v>
      </c>
      <c r="M13" s="6">
        <v>200000</v>
      </c>
      <c r="N13" s="9">
        <f t="shared" si="0"/>
        <v>1800000</v>
      </c>
    </row>
    <row r="14" spans="1:16" x14ac:dyDescent="0.2">
      <c r="A14" s="4" t="s">
        <v>36</v>
      </c>
      <c r="B14" s="6">
        <v>1000</v>
      </c>
      <c r="C14" s="6">
        <v>1000</v>
      </c>
      <c r="D14" s="6">
        <v>10000</v>
      </c>
      <c r="E14" s="6">
        <v>10000</v>
      </c>
      <c r="F14" s="6">
        <v>10000</v>
      </c>
      <c r="G14" s="6">
        <v>10000</v>
      </c>
      <c r="H14" s="6">
        <v>10000</v>
      </c>
      <c r="I14" s="6">
        <v>10000</v>
      </c>
      <c r="J14" s="6">
        <v>10000</v>
      </c>
      <c r="K14" s="6">
        <v>10000</v>
      </c>
      <c r="L14" s="6">
        <v>10000</v>
      </c>
      <c r="M14" s="6">
        <v>10000</v>
      </c>
      <c r="N14" s="9">
        <f t="shared" si="0"/>
        <v>102000</v>
      </c>
      <c r="P14" s="1" t="s">
        <v>34</v>
      </c>
    </row>
    <row r="15" spans="1:16" x14ac:dyDescent="0.2">
      <c r="A15" s="4" t="s">
        <v>31</v>
      </c>
      <c r="B15" s="6"/>
      <c r="C15" s="6"/>
      <c r="D15" s="6"/>
      <c r="E15" s="6"/>
      <c r="F15" s="6">
        <v>25000</v>
      </c>
      <c r="G15" s="6">
        <v>25000</v>
      </c>
      <c r="H15" s="6">
        <v>25000</v>
      </c>
      <c r="I15" s="6">
        <v>25000</v>
      </c>
      <c r="J15" s="6">
        <v>25000</v>
      </c>
      <c r="K15" s="6">
        <v>25000</v>
      </c>
      <c r="L15" s="6">
        <v>25000</v>
      </c>
      <c r="M15" s="6">
        <v>25000</v>
      </c>
      <c r="N15" s="9">
        <f t="shared" si="0"/>
        <v>200000</v>
      </c>
    </row>
    <row r="16" spans="1:16" x14ac:dyDescent="0.2">
      <c r="A16" s="4" t="s">
        <v>38</v>
      </c>
      <c r="B16" s="6"/>
      <c r="C16" s="6"/>
      <c r="D16" s="6">
        <v>10000</v>
      </c>
      <c r="E16" s="6">
        <v>10000</v>
      </c>
      <c r="F16" s="6">
        <v>10000</v>
      </c>
      <c r="G16" s="6">
        <v>10000</v>
      </c>
      <c r="H16" s="6">
        <v>10000</v>
      </c>
      <c r="I16" s="6">
        <v>10000</v>
      </c>
      <c r="J16" s="6">
        <v>10000</v>
      </c>
      <c r="K16" s="6">
        <v>10000</v>
      </c>
      <c r="L16" s="6">
        <v>10000</v>
      </c>
      <c r="M16" s="6">
        <v>10000</v>
      </c>
      <c r="N16" s="9">
        <f t="shared" si="0"/>
        <v>100000</v>
      </c>
    </row>
    <row r="17" spans="1:14" x14ac:dyDescent="0.2">
      <c r="A17" s="4" t="s">
        <v>39</v>
      </c>
      <c r="F17" s="6">
        <v>50000</v>
      </c>
      <c r="G17" s="6">
        <v>50000</v>
      </c>
      <c r="H17" s="6">
        <v>50000</v>
      </c>
      <c r="I17" s="6">
        <v>50000</v>
      </c>
      <c r="J17" s="6">
        <v>50000</v>
      </c>
      <c r="K17" s="6">
        <v>50000</v>
      </c>
      <c r="L17" s="6">
        <v>50000</v>
      </c>
      <c r="M17" s="6">
        <v>50000</v>
      </c>
      <c r="N17" s="9">
        <f t="shared" si="0"/>
        <v>400000</v>
      </c>
    </row>
    <row r="18" spans="1:14" x14ac:dyDescent="0.2">
      <c r="A18" s="4" t="s">
        <v>40</v>
      </c>
      <c r="F18" s="6"/>
      <c r="G18" s="6">
        <v>500000</v>
      </c>
      <c r="H18" s="6">
        <v>500000</v>
      </c>
      <c r="I18" s="6">
        <v>500000</v>
      </c>
      <c r="J18" s="6">
        <v>500000</v>
      </c>
      <c r="K18" s="6">
        <v>500000</v>
      </c>
      <c r="L18" s="6">
        <v>500000</v>
      </c>
      <c r="M18" s="6">
        <v>500000</v>
      </c>
      <c r="N18" s="9">
        <f t="shared" si="0"/>
        <v>3500000</v>
      </c>
    </row>
    <row r="19" spans="1:14" x14ac:dyDescent="0.2">
      <c r="A19" s="4" t="s">
        <v>35</v>
      </c>
      <c r="E19" s="6">
        <v>5000</v>
      </c>
      <c r="F19" s="6">
        <v>5000</v>
      </c>
      <c r="G19" s="6">
        <v>5000</v>
      </c>
      <c r="H19" s="6">
        <v>5000</v>
      </c>
      <c r="I19" s="6">
        <v>5000</v>
      </c>
      <c r="J19" s="6">
        <v>5000</v>
      </c>
      <c r="K19" s="6">
        <v>5000</v>
      </c>
      <c r="L19" s="6">
        <v>5000</v>
      </c>
      <c r="M19" s="6">
        <v>5000</v>
      </c>
      <c r="N19" s="9">
        <f t="shared" si="0"/>
        <v>45000</v>
      </c>
    </row>
    <row r="20" spans="1:14" x14ac:dyDescent="0.2">
      <c r="A20" s="4"/>
      <c r="F20" s="6"/>
    </row>
    <row r="21" spans="1:14" ht="13.5" thickBot="1" x14ac:dyDescent="0.25">
      <c r="B21" s="6"/>
      <c r="C21" s="6">
        <f>SUM(C5:C17)</f>
        <v>11000</v>
      </c>
      <c r="D21" s="6">
        <f>SUM(D5:D19)</f>
        <v>185000</v>
      </c>
      <c r="E21" s="6">
        <f t="shared" ref="E21:M21" si="1">SUM(E5:E19)</f>
        <v>540000</v>
      </c>
      <c r="F21" s="6">
        <f t="shared" si="1"/>
        <v>630000</v>
      </c>
      <c r="G21" s="6">
        <f t="shared" si="1"/>
        <v>1130000</v>
      </c>
      <c r="H21" s="6">
        <f t="shared" si="1"/>
        <v>1130000</v>
      </c>
      <c r="I21" s="6">
        <f t="shared" si="1"/>
        <v>1130000</v>
      </c>
      <c r="J21" s="6">
        <f t="shared" si="1"/>
        <v>1130000</v>
      </c>
      <c r="K21" s="6">
        <f t="shared" si="1"/>
        <v>1130000</v>
      </c>
      <c r="L21" s="6">
        <f t="shared" si="1"/>
        <v>1130000</v>
      </c>
      <c r="M21" s="6">
        <f t="shared" si="1"/>
        <v>1130000</v>
      </c>
      <c r="N21" s="11">
        <f>SUM(B21:M21)</f>
        <v>9276000</v>
      </c>
    </row>
    <row r="22" spans="1:14" ht="13.5" thickTop="1" x14ac:dyDescent="0.2"/>
  </sheetData>
  <pageMargins left="0.7" right="0.7" top="0.75" bottom="0.75" header="0.3" footer="0.3"/>
  <pageSetup orientation="portrait" r:id="rId1"/>
  <headerFooter>
    <oddHeader>&amp;CCONFIDENTIAL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Budget</vt:lpstr>
      <vt:lpstr>2026 HQ Pipeline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</dc:creator>
  <cp:lastModifiedBy>Tim Michaels</cp:lastModifiedBy>
  <cp:lastPrinted>2023-11-21T14:43:13Z</cp:lastPrinted>
  <dcterms:created xsi:type="dcterms:W3CDTF">2021-08-09T15:30:28Z</dcterms:created>
  <dcterms:modified xsi:type="dcterms:W3CDTF">2025-12-16T16:18:26Z</dcterms:modified>
</cp:coreProperties>
</file>